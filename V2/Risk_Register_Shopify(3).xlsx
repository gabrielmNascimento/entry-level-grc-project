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<sst xmlns="http://schemas.openxmlformats.org/spreadsheetml/2006/main" count="147" uniqueCount="117">
  <si>
    <t>Risk ID</t>
  </si>
  <si>
    <t>Risk Description</t>
  </si>
  <si>
    <t>Threat Source</t>
  </si>
  <si>
    <t>Impacted Asset</t>
  </si>
  <si>
    <t>Likelihood</t>
  </si>
  <si>
    <t>Impact</t>
  </si>
  <si>
    <t>Risk Score</t>
  </si>
  <si>
    <t>Risk Level</t>
  </si>
  <si>
    <t>Existing Controls / Notes</t>
  </si>
  <si>
    <t>Mitigation Plan</t>
  </si>
  <si>
    <t>Owner</t>
  </si>
  <si>
    <t>Review Date</t>
  </si>
  <si>
    <t>R001</t>
  </si>
  <si>
    <t>Employee laptop is stolen or hacked</t>
  </si>
  <si>
    <t>Insider threat or physical theft</t>
  </si>
  <si>
    <t>Employee device, business data</t>
  </si>
  <si>
    <t>Medium (2)</t>
  </si>
  <si>
    <t>High (3)</t>
  </si>
  <si>
    <t>Endpoint protection, remote wipe, MFA</t>
  </si>
  <si>
    <t>Enforce full-disk encryption, require auto-lock, and regular security awareness training</t>
  </si>
  <si>
    <t>IT Manager</t>
  </si>
  <si>
    <t>R002</t>
  </si>
  <si>
    <t>Unauthorized access to Shopify admin</t>
  </si>
  <si>
    <t>Phishing or brute force</t>
  </si>
  <si>
    <t>Shopify backend</t>
  </si>
  <si>
    <t>Low (1)</t>
  </si>
  <si>
    <t>Limit admin access, strong passwords</t>
  </si>
  <si>
    <t>Enforce 2FA, IP restrictions, and role-based access</t>
  </si>
  <si>
    <t>Shopify Admin</t>
  </si>
  <si>
    <t>R003</t>
  </si>
  <si>
    <t>Weak Google Drive sharing permissions</t>
  </si>
  <si>
    <t>Insider error</t>
  </si>
  <si>
    <t>Customer database, policies</t>
  </si>
  <si>
    <t>Monthly permission reviews</t>
  </si>
  <si>
    <t>Configure group-based Drive permissions, implement quarterly audits</t>
  </si>
  <si>
    <t>Data Protection Officer</t>
  </si>
  <si>
    <t>R004</t>
  </si>
  <si>
    <t>Phishing email leads to credential theft</t>
  </si>
  <si>
    <t>External attacker</t>
  </si>
  <si>
    <t>Gmail + Shopify admin</t>
  </si>
  <si>
    <t>Phishing training, MFA</t>
  </si>
  <si>
    <t>Conduct monthly phishing simulations, use email filtering tools</t>
  </si>
  <si>
    <t>Security Officer</t>
  </si>
  <si>
    <t>R005</t>
  </si>
  <si>
    <t>Stripe misconfiguration exposes customer data</t>
  </si>
  <si>
    <t>Human error</t>
  </si>
  <si>
    <t>Payment &amp; customer info</t>
  </si>
  <si>
    <t>Critical (4)</t>
  </si>
  <si>
    <t>Role-based access, config checks</t>
  </si>
  <si>
    <t>Perform weekly Stripe audits, restrict config access to senior staff</t>
  </si>
  <si>
    <t>Payments Lead</t>
  </si>
  <si>
    <t>R006</t>
  </si>
  <si>
    <t>Shopify app injects malicious code</t>
  </si>
  <si>
    <t>Third-party vendor</t>
  </si>
  <si>
    <t>Customer site, frontend</t>
  </si>
  <si>
    <t>Vet all apps, use only trusted providers</t>
  </si>
  <si>
    <t>Only allow pre-approved apps, review app permissions monthly</t>
  </si>
  <si>
    <t>DevOps Lead</t>
  </si>
  <si>
    <t>R007</t>
  </si>
  <si>
    <t>Employee leaves without revoking access</t>
  </si>
  <si>
    <t>Internal risk</t>
  </si>
  <si>
    <t>All systems: email, Stripe, Shopify</t>
  </si>
  <si>
    <t>Offboarding checklist</t>
  </si>
  <si>
    <t>Ensure offboarding process includes revoking access from all systems</t>
  </si>
  <si>
    <t>HR / IT</t>
  </si>
  <si>
    <t>R008</t>
  </si>
  <si>
    <t>DDoS attack takes down storefront</t>
  </si>
  <si>
    <t>Shopify store availability</t>
  </si>
  <si>
    <t>Shopify has built-in DDoS protection</t>
  </si>
  <si>
    <t>Create incident response plan for DDoS, coordinate with Shopify support</t>
  </si>
  <si>
    <t>IT Lead</t>
  </si>
  <si>
    <t>R009</t>
  </si>
  <si>
    <t>Misdelivery causes chargebacks or data complaints</t>
  </si>
  <si>
    <t>Logistics partner</t>
  </si>
  <si>
    <t>Customer data &amp; payment reputation</t>
  </si>
  <si>
    <t>Use trusted courier, delivery proof</t>
  </si>
  <si>
    <t>Verify addresses before shipment, enable delivery verification</t>
  </si>
  <si>
    <t>Ops Manager</t>
  </si>
  <si>
    <t>R010</t>
  </si>
  <si>
    <t>Gmail account gets locked or lost</t>
  </si>
  <si>
    <t>Mismanagement or phishing</t>
  </si>
  <si>
    <t>Company email access</t>
  </si>
  <si>
    <t>Use backup email, recovery codes</t>
  </si>
  <si>
    <t>Set up backup admin accounts, document recovery steps</t>
  </si>
  <si>
    <t>SysAdmin</t>
  </si>
  <si>
    <t>R011</t>
  </si>
  <si>
    <t>Unpatched plugin vulnerability in Shopify</t>
  </si>
  <si>
    <t>Third-party plugin provider</t>
  </si>
  <si>
    <t>Shopify storefront, customer data</t>
  </si>
  <si>
    <t>Regular plugin audits, auto-updates</t>
  </si>
  <si>
    <t>Establish monthly plugin reviews, enforce use of trusted plugins only</t>
  </si>
  <si>
    <t>Security Analyst</t>
  </si>
  <si>
    <t>R012</t>
  </si>
  <si>
    <t>Misdelivery of sensitive files via email</t>
  </si>
  <si>
    <t>Customer PII, partner data</t>
  </si>
  <si>
    <t>Email DLP, double-check workflows</t>
  </si>
  <si>
    <t>Implement training for safe file sharing; enable DLP alerts on email</t>
  </si>
  <si>
    <t>Compliance Officer</t>
  </si>
  <si>
    <t>R013</t>
  </si>
  <si>
    <t>Shopify API key exposure in GitHub repo</t>
  </si>
  <si>
    <t>Developer mistake</t>
  </si>
  <si>
    <t>Shopify backend, orders, customer data</t>
  </si>
  <si>
    <t>Secret scanning, environment variables</t>
  </si>
  <si>
    <t>Use Git hooks to prevent secrets; enforce secret scanning in CI/CD</t>
  </si>
  <si>
    <t>R014</t>
  </si>
  <si>
    <t>Data loss due to accidental deletion in Google Drive</t>
  </si>
  <si>
    <t>Internal documentation, customer records</t>
  </si>
  <si>
    <t>File versioning, cloud backups</t>
  </si>
  <si>
    <t>Enable Drive trash retention and auto-backup of key folders</t>
  </si>
  <si>
    <t>IT Support</t>
  </si>
  <si>
    <t>R015</t>
  </si>
  <si>
    <t>Third-party app requesting excess permissions</t>
  </si>
  <si>
    <t>External app developer</t>
  </si>
  <si>
    <t>Shopify admin, customer data</t>
  </si>
  <si>
    <t>App vetting, permission reviews</t>
  </si>
  <si>
    <t>Conduct quarterly app permission audits, limit app scope</t>
  </si>
  <si>
    <t>Risk Manager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</si>
</sst>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1.0"/>
      <color theme="1"/>
      <name val="Calibri"/>
      <scheme val="minor"/>
    </font>
    <font>
      <b/>
      <sz val="11.0"/>
      <color rgb="FFFFFFFF"/>
      <name val="Calibri"/>
    </font>
    <font>
      <b/>
      <color rgb="FFFFFFFF"/>
      <name val="Calibri"/>
      <scheme val="minor"/>
    </font>
    <font>
      <color theme="1"/>
      <name val="Calibri"/>
      <scheme val="minor"/>
    </font>
    <font>
      <sz val="11.0"/>
      <color rgb="FF434343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2C3E50"/>
        <bgColor rgb="FF2C3E50"/>
      </patternFill>
    </fill>
    <fill>
      <patternFill patternType="solid">
        <fgColor rgb="FFF9F9F9"/>
        <bgColor rgb="FFF9F9F9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20">
    <border/>
    <border>
      <left style="thin">
        <color rgb="FF284E3F"/>
      </left>
      <right style="thin">
        <color rgb="FF2C3E50"/>
      </right>
      <top style="thin">
        <color rgb="FF284E3F"/>
      </top>
      <bottom style="thin">
        <color rgb="FF284E3F"/>
      </bottom>
    </border>
    <border>
      <left style="thin">
        <color rgb="FF2C3E50"/>
      </left>
      <right style="thin">
        <color rgb="FF2C3E50"/>
      </right>
      <top style="thin">
        <color rgb="FF284E3F"/>
      </top>
      <bottom style="thin">
        <color rgb="FF284E3F"/>
      </bottom>
    </border>
    <border>
      <left style="thin">
        <color rgb="FFB7E1CD"/>
      </left>
      <right style="thin">
        <color rgb="FFB7E1CD"/>
      </right>
      <top style="thin">
        <color rgb="FF284E3F"/>
      </top>
      <bottom style="thin">
        <color rgb="FF284E3F"/>
      </bottom>
    </border>
    <border>
      <left style="thin">
        <color rgb="FF2C3E50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9F9F9"/>
      </right>
      <top style="thin">
        <color rgb="FFF9F9F9"/>
      </top>
      <bottom style="thin">
        <color rgb="FFF9F9F9"/>
      </bottom>
    </border>
    <border>
      <left style="thin">
        <color rgb="FFF9F9F9"/>
      </left>
      <right style="thin">
        <color rgb="FFF9F9F9"/>
      </right>
      <top style="thin">
        <color rgb="FFF9F9F9"/>
      </top>
      <bottom style="thin">
        <color rgb="FFF9F9F9"/>
      </bottom>
    </border>
    <border>
      <left style="thin">
        <color rgb="FFFF9900"/>
      </left>
      <right style="thin">
        <color rgb="FFFF9900"/>
      </right>
      <top style="thin">
        <color rgb="FFFF9900"/>
      </top>
      <bottom style="thin">
        <color rgb="FFFF99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  <border>
      <left style="thin">
        <color rgb="FF284E3F"/>
      </left>
      <right style="thin">
        <color rgb="FFF9F9F9"/>
      </right>
      <top style="thin">
        <color rgb="FFF9F9F9"/>
      </top>
      <bottom style="thin">
        <color rgb="FF284E3F"/>
      </bottom>
    </border>
    <border>
      <left style="thin">
        <color rgb="FFF9F9F9"/>
      </left>
      <right style="thin">
        <color rgb="FFF9F9F9"/>
      </right>
      <top style="thin">
        <color rgb="FFF9F9F9"/>
      </top>
      <bottom style="thin">
        <color rgb="FF284E3F"/>
      </bottom>
    </border>
    <border>
      <left style="thin">
        <color rgb="FFFF9900"/>
      </left>
      <right style="thin">
        <color rgb="FFFF9900"/>
      </right>
      <top style="thin">
        <color rgb="FFFF9900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top" wrapText="0"/>
    </xf>
    <xf borderId="2" fillId="2" fontId="1" numFmtId="0" xfId="0" applyAlignment="1" applyBorder="1" applyFont="1">
      <alignment horizontal="center" readingOrder="0" shrinkToFit="0" vertical="top" wrapText="0"/>
    </xf>
    <xf borderId="3" fillId="2" fontId="1" numFmtId="0" xfId="0" applyAlignment="1" applyBorder="1" applyFont="1">
      <alignment horizontal="center" readingOrder="0" shrinkToFit="0" vertical="top" wrapText="0"/>
    </xf>
    <xf borderId="2" fillId="2" fontId="2" numFmtId="0" xfId="0" applyAlignment="1" applyBorder="1" applyFont="1">
      <alignment horizontal="center" readingOrder="0" shrinkToFit="0" vertical="center" wrapText="0"/>
    </xf>
    <xf borderId="4" fillId="2" fontId="2" numFmtId="0" xfId="0" applyAlignment="1" applyBorder="1" applyFont="1">
      <alignment horizontal="center" readingOrder="0" shrinkToFit="0" vertical="center" wrapText="0"/>
    </xf>
    <xf borderId="5" fillId="3" fontId="3" numFmtId="0" xfId="0" applyAlignment="1" applyBorder="1" applyFill="1" applyFont="1">
      <alignment shrinkToFit="0" vertical="center" wrapText="0"/>
    </xf>
    <xf borderId="6" fillId="3" fontId="3" numFmtId="0" xfId="0" applyAlignment="1" applyBorder="1" applyFont="1">
      <alignment shrinkToFit="0" vertical="center" wrapText="1"/>
    </xf>
    <xf borderId="6" fillId="3" fontId="3" numFmtId="0" xfId="0" applyAlignment="1" applyBorder="1" applyFont="1">
      <alignment shrinkToFit="0" vertical="center" wrapText="0"/>
    </xf>
    <xf borderId="6" fillId="3" fontId="3" numFmtId="0" xfId="0" applyAlignment="1" applyBorder="1" applyFont="1">
      <alignment shrinkToFit="0" vertical="center" wrapText="0"/>
    </xf>
    <xf borderId="6" fillId="3" fontId="3" numFmtId="0" xfId="0" applyAlignment="1" applyBorder="1" applyFont="1">
      <alignment shrinkToFit="0" vertical="center" wrapText="0"/>
    </xf>
    <xf borderId="7" fillId="3" fontId="3" numFmtId="0" xfId="0" applyAlignment="1" applyBorder="1" applyFont="1">
      <alignment shrinkToFit="0" vertical="center" wrapText="0"/>
    </xf>
    <xf borderId="8" fillId="0" fontId="3" numFmtId="0" xfId="0" applyAlignment="1" applyBorder="1" applyFont="1">
      <alignment readingOrder="0" shrinkToFit="0" vertical="center" wrapText="1"/>
    </xf>
    <xf borderId="8" fillId="0" fontId="3" numFmtId="0" xfId="0" applyAlignment="1" applyBorder="1" applyFont="1">
      <alignment readingOrder="0" shrinkToFit="0" vertical="center" wrapText="0"/>
    </xf>
    <xf borderId="9" fillId="0" fontId="3" numFmtId="164" xfId="0" applyAlignment="1" applyBorder="1" applyFont="1" applyNumberFormat="1">
      <alignment readingOrder="0" shrinkToFit="0" vertical="center" wrapText="0"/>
    </xf>
    <xf borderId="10" fillId="4" fontId="3" numFmtId="0" xfId="0" applyAlignment="1" applyBorder="1" applyFill="1" applyFont="1">
      <alignment shrinkToFit="0" vertical="center" wrapText="0"/>
    </xf>
    <xf borderId="8" fillId="4" fontId="3" numFmtId="0" xfId="0" applyAlignment="1" applyBorder="1" applyFont="1">
      <alignment shrinkToFit="0" vertical="center" wrapText="1"/>
    </xf>
    <xf borderId="8" fillId="4" fontId="3" numFmtId="0" xfId="0" applyAlignment="1" applyBorder="1" applyFont="1">
      <alignment shrinkToFit="0" vertical="center" wrapText="0"/>
    </xf>
    <xf borderId="8" fillId="4" fontId="3" numFmtId="0" xfId="0" applyAlignment="1" applyBorder="1" applyFont="1">
      <alignment shrinkToFit="0" vertical="center" wrapText="0"/>
    </xf>
    <xf borderId="8" fillId="4" fontId="3" numFmtId="0" xfId="0" applyAlignment="1" applyBorder="1" applyFont="1">
      <alignment shrinkToFit="0" vertical="center" wrapText="0"/>
    </xf>
    <xf borderId="11" fillId="4" fontId="3" numFmtId="0" xfId="0" applyAlignment="1" applyBorder="1" applyFont="1">
      <alignment shrinkToFit="0" vertical="center" wrapText="0"/>
    </xf>
    <xf borderId="12" fillId="5" fontId="4" numFmtId="0" xfId="0" applyAlignment="1" applyBorder="1" applyFill="1" applyFont="1">
      <alignment shrinkToFit="0" vertical="center" wrapText="1"/>
    </xf>
    <xf borderId="12" fillId="5" fontId="4" numFmtId="0" xfId="0" applyAlignment="1" applyBorder="1" applyFont="1">
      <alignment shrinkToFit="0" vertical="center" wrapText="0"/>
    </xf>
    <xf borderId="13" fillId="5" fontId="4" numFmtId="164" xfId="0" applyAlignment="1" applyBorder="1" applyFont="1" applyNumberFormat="1">
      <alignment horizontal="right" shrinkToFit="0" vertical="center" wrapText="0"/>
    </xf>
    <xf borderId="11" fillId="3" fontId="3" numFmtId="0" xfId="0" applyAlignment="1" applyBorder="1" applyFont="1">
      <alignment shrinkToFit="0" vertical="center" wrapText="0"/>
    </xf>
    <xf borderId="8" fillId="4" fontId="4" numFmtId="0" xfId="0" applyAlignment="1" applyBorder="1" applyFont="1">
      <alignment shrinkToFit="0" vertical="center" wrapText="1"/>
    </xf>
    <xf borderId="8" fillId="4" fontId="4" numFmtId="0" xfId="0" applyAlignment="1" applyBorder="1" applyFont="1">
      <alignment shrinkToFit="0" vertical="center" wrapText="0"/>
    </xf>
    <xf borderId="9" fillId="4" fontId="4" numFmtId="164" xfId="0" applyAlignment="1" applyBorder="1" applyFont="1" applyNumberFormat="1">
      <alignment horizontal="right" shrinkToFit="0" vertical="center" wrapText="0"/>
    </xf>
    <xf borderId="14" fillId="4" fontId="3" numFmtId="0" xfId="0" applyAlignment="1" applyBorder="1" applyFont="1">
      <alignment shrinkToFit="0" vertical="center" wrapText="0"/>
    </xf>
    <xf borderId="7" fillId="4" fontId="3" numFmtId="0" xfId="0" applyAlignment="1" applyBorder="1" applyFont="1">
      <alignment shrinkToFit="0" vertical="center" wrapText="0"/>
    </xf>
    <xf borderId="5" fillId="3" fontId="3" numFmtId="0" xfId="0" applyAlignment="1" applyBorder="1" applyFont="1">
      <alignment readingOrder="0" shrinkToFit="0" vertical="center" wrapText="0"/>
    </xf>
    <xf borderId="6" fillId="3" fontId="3" numFmtId="0" xfId="0" applyAlignment="1" applyBorder="1" applyFont="1">
      <alignment readingOrder="0" shrinkToFit="0" vertical="center" wrapText="1"/>
    </xf>
    <xf borderId="6" fillId="3" fontId="3" numFmtId="0" xfId="0" applyAlignment="1" applyBorder="1" applyFont="1">
      <alignment readingOrder="0" shrinkToFit="0" vertical="center" wrapText="0"/>
    </xf>
    <xf borderId="6" fillId="3" fontId="3" numFmtId="0" xfId="0" applyAlignment="1" applyBorder="1" applyFont="1">
      <alignment readingOrder="0" shrinkToFit="0" vertical="center" wrapText="0"/>
    </xf>
    <xf borderId="6" fillId="3" fontId="3" numFmtId="0" xfId="0" applyAlignment="1" applyBorder="1" applyFont="1">
      <alignment readingOrder="0" shrinkToFit="0" vertical="center" wrapText="0"/>
    </xf>
    <xf borderId="7" fillId="3" fontId="3" numFmtId="0" xfId="0" applyAlignment="1" applyBorder="1" applyFont="1">
      <alignment readingOrder="0" shrinkToFit="0" vertical="center" wrapText="0"/>
    </xf>
    <xf borderId="10" fillId="4" fontId="3" numFmtId="0" xfId="0" applyAlignment="1" applyBorder="1" applyFont="1">
      <alignment readingOrder="0" shrinkToFit="0" vertical="center" wrapText="0"/>
    </xf>
    <xf borderId="8" fillId="4" fontId="3" numFmtId="0" xfId="0" applyAlignment="1" applyBorder="1" applyFont="1">
      <alignment readingOrder="0" shrinkToFit="0" vertical="center" wrapText="1"/>
    </xf>
    <xf borderId="8" fillId="4" fontId="3" numFmtId="0" xfId="0" applyAlignment="1" applyBorder="1" applyFont="1">
      <alignment readingOrder="0" shrinkToFit="0" vertical="center" wrapText="0"/>
    </xf>
    <xf borderId="8" fillId="4" fontId="3" numFmtId="0" xfId="0" applyAlignment="1" applyBorder="1" applyFont="1">
      <alignment readingOrder="0" shrinkToFit="0" vertical="center" wrapText="0"/>
    </xf>
    <xf borderId="8" fillId="4" fontId="3" numFmtId="0" xfId="0" applyAlignment="1" applyBorder="1" applyFont="1">
      <alignment readingOrder="0" shrinkToFit="0" vertical="center" wrapText="0"/>
    </xf>
    <xf borderId="11" fillId="4" fontId="3" numFmtId="0" xfId="0" applyAlignment="1" applyBorder="1" applyFont="1">
      <alignment readingOrder="0" shrinkToFit="0" vertical="center" wrapText="0"/>
    </xf>
    <xf borderId="12" fillId="0" fontId="3" numFmtId="0" xfId="0" applyAlignment="1" applyBorder="1" applyFont="1">
      <alignment readingOrder="0" shrinkToFit="0" vertical="center" wrapText="1"/>
    </xf>
    <xf borderId="12" fillId="0" fontId="3" numFmtId="0" xfId="0" applyAlignment="1" applyBorder="1" applyFont="1">
      <alignment readingOrder="0" shrinkToFit="0" vertical="center" wrapText="0"/>
    </xf>
    <xf borderId="13" fillId="0" fontId="3" numFmtId="164" xfId="0" applyAlignment="1" applyBorder="1" applyFont="1" applyNumberFormat="1">
      <alignment readingOrder="0" shrinkToFit="0" vertical="center" wrapText="0"/>
    </xf>
    <xf borderId="14" fillId="3" fontId="3" numFmtId="0" xfId="0" applyAlignment="1" applyBorder="1" applyFont="1">
      <alignment readingOrder="0" shrinkToFit="0" vertical="center" wrapText="0"/>
    </xf>
    <xf borderId="15" fillId="3" fontId="3" numFmtId="0" xfId="0" applyAlignment="1" applyBorder="1" applyFont="1">
      <alignment readingOrder="0" shrinkToFit="0" vertical="center" wrapText="0"/>
    </xf>
    <xf borderId="16" fillId="3" fontId="3" numFmtId="0" xfId="0" applyAlignment="1" applyBorder="1" applyFont="1">
      <alignment readingOrder="0" shrinkToFit="0" vertical="center" wrapText="1"/>
    </xf>
    <xf borderId="16" fillId="3" fontId="3" numFmtId="0" xfId="0" applyAlignment="1" applyBorder="1" applyFont="1">
      <alignment readingOrder="0" shrinkToFit="0" vertical="center" wrapText="0"/>
    </xf>
    <xf borderId="16" fillId="3" fontId="3" numFmtId="0" xfId="0" applyAlignment="1" applyBorder="1" applyFont="1">
      <alignment readingOrder="0" shrinkToFit="0" vertical="center" wrapText="0"/>
    </xf>
    <xf borderId="16" fillId="3" fontId="3" numFmtId="0" xfId="0" applyAlignment="1" applyBorder="1" applyFont="1">
      <alignment readingOrder="0" shrinkToFit="0" vertical="center" wrapText="0"/>
    </xf>
    <xf borderId="17" fillId="3" fontId="3" numFmtId="0" xfId="0" applyAlignment="1" applyBorder="1" applyFont="1">
      <alignment readingOrder="0" shrinkToFit="0" vertical="center" wrapText="0"/>
    </xf>
    <xf borderId="18" fillId="0" fontId="3" numFmtId="0" xfId="0" applyAlignment="1" applyBorder="1" applyFont="1">
      <alignment readingOrder="0" shrinkToFit="0" vertical="center" wrapText="1"/>
    </xf>
    <xf borderId="18" fillId="0" fontId="3" numFmtId="0" xfId="0" applyAlignment="1" applyBorder="1" applyFont="1">
      <alignment readingOrder="0" shrinkToFit="0" vertical="center" wrapText="0"/>
    </xf>
    <xf borderId="19" fillId="0" fontId="3" numFmtId="164" xfId="0" applyAlignment="1" applyBorder="1" applyFont="1" applyNumberFormat="1">
      <alignment readingOrder="0" shrinkToFit="0" vertical="center" wrapText="0"/>
    </xf>
  </cellXfs>
  <cellStyles count="1">
    <cellStyle xfId="0" name="Normal" builtinId="0"/>
  </cellStyles>
  <dxfs count="9">
    <dxf>
      <font>
        <b/>
        <color rgb="FFFFFFFF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00CC00"/>
          <bgColor rgb="FF00CC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Sheet1-style">
      <tableStyleElement dxfId="6" type="headerRow"/>
      <tableStyleElement dxfId="7" type="firstRowStripe"/>
      <tableStyleElement dxfId="8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L16" displayName="Table1" name="Table1" id="1">
  <tableColumns count="12">
    <tableColumn name="Risk ID" id="1"/>
    <tableColumn name="Risk Description" id="2"/>
    <tableColumn name="Threat Source" id="3"/>
    <tableColumn name="Impacted Asset" id="4"/>
    <tableColumn name="Likelihood" id="5"/>
    <tableColumn name="Impact" id="6"/>
    <tableColumn name="Risk Score" id="7"/>
    <tableColumn name="Risk Level" id="8"/>
    <tableColumn name="Existing Controls / Notes" id="9"/>
    <tableColumn name="Mitigation Plan" id="10"/>
    <tableColumn name="Owner" id="11"/>
    <tableColumn name="Review Date" id="12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57"/>
    <col customWidth="1" min="2" max="2" width="49.0"/>
    <col customWidth="1" min="3" max="3" width="29.57"/>
    <col customWidth="1" min="4" max="4" width="40.57"/>
    <col customWidth="1" min="5" max="5" width="19.43"/>
    <col customWidth="1" min="6" max="6" width="16.29"/>
    <col customWidth="1" min="7" max="7" width="19.71"/>
    <col customWidth="1" min="8" max="8" width="15.57"/>
    <col customWidth="1" min="9" max="9" width="38.0"/>
    <col customWidth="1" min="10" max="10" width="82.43"/>
    <col customWidth="1" min="11" max="11" width="23.0"/>
    <col customWidth="1" min="12" max="12" width="22.86"/>
    <col customWidth="1" min="13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4" t="s">
        <v>9</v>
      </c>
      <c r="K1" s="4" t="s">
        <v>10</v>
      </c>
      <c r="L1" s="5" t="s">
        <v>11</v>
      </c>
    </row>
    <row r="2">
      <c r="A2" s="6" t="s">
        <v>12</v>
      </c>
      <c r="B2" s="7" t="s">
        <v>13</v>
      </c>
      <c r="C2" s="8" t="s">
        <v>14</v>
      </c>
      <c r="D2" s="8" t="s">
        <v>15</v>
      </c>
      <c r="E2" s="9" t="s">
        <v>16</v>
      </c>
      <c r="F2" s="9" t="s">
        <v>17</v>
      </c>
      <c r="G2" s="10">
        <f>IFERROR(__xludf.DUMMYFUNCTION("VALUE(REGEXEXTRACT(E2, ""\d+"")) * VALUE(REGEXEXTRACT(F2, ""\d+""))"),6.0)</f>
        <v>6</v>
      </c>
      <c r="H2" s="11" t="str">
        <f t="shared" ref="H2:H16" si="1">IFS(G2&gt;=7, "Critical", G2&gt;=5, "High", G2&gt;=3, "Medium", TRUE, "Low")</f>
        <v>High</v>
      </c>
      <c r="I2" s="7" t="s">
        <v>18</v>
      </c>
      <c r="J2" s="12" t="s">
        <v>19</v>
      </c>
      <c r="K2" s="13" t="s">
        <v>20</v>
      </c>
      <c r="L2" s="14">
        <v>45839.0</v>
      </c>
    </row>
    <row r="3">
      <c r="A3" s="15" t="s">
        <v>21</v>
      </c>
      <c r="B3" s="16" t="s">
        <v>22</v>
      </c>
      <c r="C3" s="17" t="s">
        <v>23</v>
      </c>
      <c r="D3" s="17" t="s">
        <v>24</v>
      </c>
      <c r="E3" s="18" t="s">
        <v>25</v>
      </c>
      <c r="F3" s="18" t="s">
        <v>17</v>
      </c>
      <c r="G3" s="19">
        <f>IFERROR(__xludf.DUMMYFUNCTION("VALUE(REGEXEXTRACT(E3, ""\d+"")) * VALUE(REGEXEXTRACT(F3, ""\d+""))"),3.0)</f>
        <v>3</v>
      </c>
      <c r="H3" s="20" t="str">
        <f t="shared" si="1"/>
        <v>Medium</v>
      </c>
      <c r="I3" s="16" t="s">
        <v>26</v>
      </c>
      <c r="J3" s="21" t="s">
        <v>27</v>
      </c>
      <c r="K3" s="22" t="s">
        <v>28</v>
      </c>
      <c r="L3" s="23">
        <v>45839.0</v>
      </c>
    </row>
    <row r="4">
      <c r="A4" s="6" t="s">
        <v>29</v>
      </c>
      <c r="B4" s="7" t="s">
        <v>30</v>
      </c>
      <c r="C4" s="8" t="s">
        <v>31</v>
      </c>
      <c r="D4" s="8" t="s">
        <v>32</v>
      </c>
      <c r="E4" s="9" t="s">
        <v>16</v>
      </c>
      <c r="F4" s="9" t="s">
        <v>16</v>
      </c>
      <c r="G4" s="10">
        <f>IFERROR(__xludf.DUMMYFUNCTION("VALUE(REGEXEXTRACT(E4, ""\d+"")) * VALUE(REGEXEXTRACT(F4, ""\d+""))"),4.0)</f>
        <v>4</v>
      </c>
      <c r="H4" s="24" t="str">
        <f t="shared" si="1"/>
        <v>Medium</v>
      </c>
      <c r="I4" s="7" t="s">
        <v>33</v>
      </c>
      <c r="J4" s="25" t="s">
        <v>34</v>
      </c>
      <c r="K4" s="26" t="s">
        <v>35</v>
      </c>
      <c r="L4" s="27">
        <v>45838.0</v>
      </c>
    </row>
    <row r="5">
      <c r="A5" s="15" t="s">
        <v>36</v>
      </c>
      <c r="B5" s="16" t="s">
        <v>37</v>
      </c>
      <c r="C5" s="17" t="s">
        <v>38</v>
      </c>
      <c r="D5" s="17" t="s">
        <v>39</v>
      </c>
      <c r="E5" s="18" t="s">
        <v>17</v>
      </c>
      <c r="F5" s="18" t="s">
        <v>17</v>
      </c>
      <c r="G5" s="19">
        <f>IFERROR(__xludf.DUMMYFUNCTION("VALUE(REGEXEXTRACT(E5, ""\d+"")) * VALUE(REGEXEXTRACT(F5, ""\d+""))"),9.0)</f>
        <v>9</v>
      </c>
      <c r="H5" s="28" t="str">
        <f t="shared" si="1"/>
        <v>Critical</v>
      </c>
      <c r="I5" s="16" t="s">
        <v>40</v>
      </c>
      <c r="J5" s="21" t="s">
        <v>41</v>
      </c>
      <c r="K5" s="22" t="s">
        <v>42</v>
      </c>
      <c r="L5" s="23">
        <v>45828.0</v>
      </c>
    </row>
    <row r="6">
      <c r="A6" s="6" t="s">
        <v>43</v>
      </c>
      <c r="B6" s="7" t="s">
        <v>44</v>
      </c>
      <c r="C6" s="8" t="s">
        <v>45</v>
      </c>
      <c r="D6" s="8" t="s">
        <v>46</v>
      </c>
      <c r="E6" s="9" t="s">
        <v>25</v>
      </c>
      <c r="F6" s="9" t="s">
        <v>47</v>
      </c>
      <c r="G6" s="10">
        <f>IFERROR(__xludf.DUMMYFUNCTION("VALUE(REGEXEXTRACT(E6, ""\d+"")) * VALUE(REGEXEXTRACT(F6, ""\d+""))"),4.0)</f>
        <v>4</v>
      </c>
      <c r="H6" s="24" t="str">
        <f t="shared" si="1"/>
        <v>Medium</v>
      </c>
      <c r="I6" s="7" t="s">
        <v>48</v>
      </c>
      <c r="J6" s="25" t="s">
        <v>49</v>
      </c>
      <c r="K6" s="26" t="s">
        <v>50</v>
      </c>
      <c r="L6" s="27">
        <v>45843.0</v>
      </c>
    </row>
    <row r="7">
      <c r="A7" s="15" t="s">
        <v>51</v>
      </c>
      <c r="B7" s="16" t="s">
        <v>52</v>
      </c>
      <c r="C7" s="17" t="s">
        <v>53</v>
      </c>
      <c r="D7" s="17" t="s">
        <v>54</v>
      </c>
      <c r="E7" s="18" t="s">
        <v>16</v>
      </c>
      <c r="F7" s="18" t="s">
        <v>17</v>
      </c>
      <c r="G7" s="19">
        <f>IFERROR(__xludf.DUMMYFUNCTION("VALUE(REGEXEXTRACT(E7, ""\d+"")) * VALUE(REGEXEXTRACT(F7, ""\d+""))"),6.0)</f>
        <v>6</v>
      </c>
      <c r="H7" s="29" t="str">
        <f t="shared" si="1"/>
        <v>High</v>
      </c>
      <c r="I7" s="16" t="s">
        <v>55</v>
      </c>
      <c r="J7" s="21" t="s">
        <v>56</v>
      </c>
      <c r="K7" s="22" t="s">
        <v>57</v>
      </c>
      <c r="L7" s="23">
        <v>45836.0</v>
      </c>
    </row>
    <row r="8">
      <c r="A8" s="6" t="s">
        <v>58</v>
      </c>
      <c r="B8" s="7" t="s">
        <v>59</v>
      </c>
      <c r="C8" s="8" t="s">
        <v>60</v>
      </c>
      <c r="D8" s="8" t="s">
        <v>61</v>
      </c>
      <c r="E8" s="9" t="s">
        <v>16</v>
      </c>
      <c r="F8" s="9" t="s">
        <v>16</v>
      </c>
      <c r="G8" s="10">
        <f>IFERROR(__xludf.DUMMYFUNCTION("VALUE(REGEXEXTRACT(E8, ""\d+"")) * VALUE(REGEXEXTRACT(F8, ""\d+""))"),4.0)</f>
        <v>4</v>
      </c>
      <c r="H8" s="24" t="str">
        <f t="shared" si="1"/>
        <v>Medium</v>
      </c>
      <c r="I8" s="7" t="s">
        <v>62</v>
      </c>
      <c r="J8" s="25" t="s">
        <v>63</v>
      </c>
      <c r="K8" s="26" t="s">
        <v>64</v>
      </c>
      <c r="L8" s="27">
        <v>45841.0</v>
      </c>
    </row>
    <row r="9">
      <c r="A9" s="15" t="s">
        <v>65</v>
      </c>
      <c r="B9" s="16" t="s">
        <v>66</v>
      </c>
      <c r="C9" s="17" t="s">
        <v>38</v>
      </c>
      <c r="D9" s="17" t="s">
        <v>67</v>
      </c>
      <c r="E9" s="18" t="s">
        <v>25</v>
      </c>
      <c r="F9" s="18" t="s">
        <v>17</v>
      </c>
      <c r="G9" s="19">
        <f>IFERROR(__xludf.DUMMYFUNCTION("VALUE(REGEXEXTRACT(E9, ""\d+"")) * VALUE(REGEXEXTRACT(F9, ""\d+""))"),3.0)</f>
        <v>3</v>
      </c>
      <c r="H9" s="20" t="str">
        <f t="shared" si="1"/>
        <v>Medium</v>
      </c>
      <c r="I9" s="16" t="s">
        <v>68</v>
      </c>
      <c r="J9" s="21" t="s">
        <v>69</v>
      </c>
      <c r="K9" s="22" t="s">
        <v>70</v>
      </c>
      <c r="L9" s="23">
        <v>45848.0</v>
      </c>
    </row>
    <row r="10">
      <c r="A10" s="6" t="s">
        <v>71</v>
      </c>
      <c r="B10" s="7" t="s">
        <v>72</v>
      </c>
      <c r="C10" s="8" t="s">
        <v>73</v>
      </c>
      <c r="D10" s="8" t="s">
        <v>74</v>
      </c>
      <c r="E10" s="9" t="s">
        <v>16</v>
      </c>
      <c r="F10" s="9" t="s">
        <v>16</v>
      </c>
      <c r="G10" s="10">
        <f>IFERROR(__xludf.DUMMYFUNCTION("VALUE(REGEXEXTRACT(E10, ""\d+"")) * VALUE(REGEXEXTRACT(F10, ""\d+""))"),4.0)</f>
        <v>4</v>
      </c>
      <c r="H10" s="24" t="str">
        <f t="shared" si="1"/>
        <v>Medium</v>
      </c>
      <c r="I10" s="7" t="s">
        <v>75</v>
      </c>
      <c r="J10" s="25" t="s">
        <v>76</v>
      </c>
      <c r="K10" s="26" t="s">
        <v>77</v>
      </c>
      <c r="L10" s="27">
        <v>45838.0</v>
      </c>
    </row>
    <row r="11">
      <c r="A11" s="15" t="s">
        <v>78</v>
      </c>
      <c r="B11" s="16" t="s">
        <v>79</v>
      </c>
      <c r="C11" s="17" t="s">
        <v>80</v>
      </c>
      <c r="D11" s="17" t="s">
        <v>81</v>
      </c>
      <c r="E11" s="18" t="s">
        <v>25</v>
      </c>
      <c r="F11" s="18" t="s">
        <v>17</v>
      </c>
      <c r="G11" s="19">
        <f>IFERROR(__xludf.DUMMYFUNCTION("VALUE(REGEXEXTRACT(E11, ""\d+"")) * VALUE(REGEXEXTRACT(F11, ""\d+""))"),3.0)</f>
        <v>3</v>
      </c>
      <c r="H11" s="20" t="str">
        <f t="shared" si="1"/>
        <v>Medium</v>
      </c>
      <c r="I11" s="16" t="s">
        <v>82</v>
      </c>
      <c r="J11" s="21" t="s">
        <v>83</v>
      </c>
      <c r="K11" s="22" t="s">
        <v>84</v>
      </c>
      <c r="L11" s="23">
        <v>45833.0</v>
      </c>
    </row>
    <row r="12">
      <c r="A12" s="30" t="s">
        <v>85</v>
      </c>
      <c r="B12" s="31" t="s">
        <v>86</v>
      </c>
      <c r="C12" s="32" t="s">
        <v>87</v>
      </c>
      <c r="D12" s="32" t="s">
        <v>88</v>
      </c>
      <c r="E12" s="33" t="s">
        <v>16</v>
      </c>
      <c r="F12" s="33" t="s">
        <v>17</v>
      </c>
      <c r="G12" s="34">
        <f>IFERROR(__xludf.DUMMYFUNCTION("VALUE(REGEXEXTRACT(E12, ""\d+"")) * VALUE(REGEXEXTRACT(F12, ""\d+""))"),6.0)</f>
        <v>6</v>
      </c>
      <c r="H12" s="35" t="str">
        <f t="shared" si="1"/>
        <v>High</v>
      </c>
      <c r="I12" s="31" t="s">
        <v>89</v>
      </c>
      <c r="J12" s="12" t="s">
        <v>90</v>
      </c>
      <c r="K12" s="13" t="s">
        <v>91</v>
      </c>
      <c r="L12" s="14">
        <v>45839.0</v>
      </c>
    </row>
    <row r="13">
      <c r="A13" s="36" t="s">
        <v>92</v>
      </c>
      <c r="B13" s="37" t="s">
        <v>93</v>
      </c>
      <c r="C13" s="38" t="s">
        <v>45</v>
      </c>
      <c r="D13" s="38" t="s">
        <v>94</v>
      </c>
      <c r="E13" s="39" t="s">
        <v>16</v>
      </c>
      <c r="F13" s="39" t="s">
        <v>16</v>
      </c>
      <c r="G13" s="40">
        <f>IFERROR(__xludf.DUMMYFUNCTION("VALUE(REGEXEXTRACT(E13, ""\d+"")) * VALUE(REGEXEXTRACT(F13, ""\d+""))"),4.0)</f>
        <v>4</v>
      </c>
      <c r="H13" s="41" t="str">
        <f t="shared" si="1"/>
        <v>Medium</v>
      </c>
      <c r="I13" s="37" t="s">
        <v>95</v>
      </c>
      <c r="J13" s="42" t="s">
        <v>96</v>
      </c>
      <c r="K13" s="43" t="s">
        <v>97</v>
      </c>
      <c r="L13" s="44">
        <v>45823.0</v>
      </c>
    </row>
    <row r="14">
      <c r="A14" s="30" t="s">
        <v>98</v>
      </c>
      <c r="B14" s="31" t="s">
        <v>99</v>
      </c>
      <c r="C14" s="32" t="s">
        <v>100</v>
      </c>
      <c r="D14" s="32" t="s">
        <v>101</v>
      </c>
      <c r="E14" s="33" t="s">
        <v>17</v>
      </c>
      <c r="F14" s="33" t="s">
        <v>47</v>
      </c>
      <c r="G14" s="34">
        <f>IFERROR(__xludf.DUMMYFUNCTION("VALUE(REGEXEXTRACT(E14, ""\d+"")) * VALUE(REGEXEXTRACT(F14, ""\d+""))"),12.0)</f>
        <v>12</v>
      </c>
      <c r="H14" s="45" t="str">
        <f t="shared" si="1"/>
        <v>Critical</v>
      </c>
      <c r="I14" s="31" t="s">
        <v>102</v>
      </c>
      <c r="J14" s="12" t="s">
        <v>103</v>
      </c>
      <c r="K14" s="13" t="s">
        <v>57</v>
      </c>
      <c r="L14" s="14">
        <v>45828.0</v>
      </c>
    </row>
    <row r="15">
      <c r="A15" s="36" t="s">
        <v>104</v>
      </c>
      <c r="B15" s="37" t="s">
        <v>105</v>
      </c>
      <c r="C15" s="38" t="s">
        <v>31</v>
      </c>
      <c r="D15" s="38" t="s">
        <v>106</v>
      </c>
      <c r="E15" s="39" t="s">
        <v>25</v>
      </c>
      <c r="F15" s="39" t="s">
        <v>17</v>
      </c>
      <c r="G15" s="40">
        <f>IFERROR(__xludf.DUMMYFUNCTION("VALUE(REGEXEXTRACT(E15, ""\d+"")) * VALUE(REGEXEXTRACT(F15, ""\d+""))"),3.0)</f>
        <v>3</v>
      </c>
      <c r="H15" s="41" t="str">
        <f t="shared" si="1"/>
        <v>Medium</v>
      </c>
      <c r="I15" s="37" t="s">
        <v>107</v>
      </c>
      <c r="J15" s="42" t="s">
        <v>108</v>
      </c>
      <c r="K15" s="43" t="s">
        <v>109</v>
      </c>
      <c r="L15" s="44">
        <v>45818.0</v>
      </c>
    </row>
    <row r="16">
      <c r="A16" s="46" t="s">
        <v>110</v>
      </c>
      <c r="B16" s="47" t="s">
        <v>111</v>
      </c>
      <c r="C16" s="48" t="s">
        <v>112</v>
      </c>
      <c r="D16" s="48" t="s">
        <v>113</v>
      </c>
      <c r="E16" s="49" t="s">
        <v>16</v>
      </c>
      <c r="F16" s="49" t="s">
        <v>17</v>
      </c>
      <c r="G16" s="50">
        <f>IFERROR(__xludf.DUMMYFUNCTION("VALUE(REGEXEXTRACT(E16, ""\d+"")) * VALUE(REGEXEXTRACT(F16, ""\d+""))"),6.0)</f>
        <v>6</v>
      </c>
      <c r="H16" s="51" t="str">
        <f t="shared" si="1"/>
        <v>High</v>
      </c>
      <c r="I16" s="47" t="s">
        <v>114</v>
      </c>
      <c r="J16" s="52" t="s">
        <v>115</v>
      </c>
      <c r="K16" s="53" t="s">
        <v>116</v>
      </c>
      <c r="L16" s="54">
        <v>45843.0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H2:H11">
    <cfRule type="cellIs" dxfId="0" priority="1" stopIfTrue="1" operator="equal">
      <formula>"Critical"</formula>
    </cfRule>
  </conditionalFormatting>
  <conditionalFormatting sqref="H2:H11">
    <cfRule type="cellIs" dxfId="1" priority="2" stopIfTrue="1" operator="equal">
      <formula>"High"</formula>
    </cfRule>
  </conditionalFormatting>
  <conditionalFormatting sqref="H2:H11">
    <cfRule type="cellIs" dxfId="2" priority="3" stopIfTrue="1" operator="equal">
      <formula>"Medium"</formula>
    </cfRule>
  </conditionalFormatting>
  <conditionalFormatting sqref="H2:H11">
    <cfRule type="cellIs" dxfId="3" priority="4" stopIfTrue="1" operator="equal">
      <formula>"Low"</formula>
    </cfRule>
  </conditionalFormatting>
  <conditionalFormatting sqref="H1">
    <cfRule type="notContainsBlanks" dxfId="4" priority="5" stopIfTrue="1">
      <formula>LEN(TRIM(H1))&gt;0</formula>
    </cfRule>
  </conditionalFormatting>
  <conditionalFormatting sqref="H2:H16">
    <cfRule type="cellIs" dxfId="0" priority="6" stopIfTrue="1" operator="equal">
      <formula>"Critical"</formula>
    </cfRule>
  </conditionalFormatting>
  <conditionalFormatting sqref="H2:H16">
    <cfRule type="cellIs" dxfId="1" priority="7" stopIfTrue="1" operator="equal">
      <formula>"High"</formula>
    </cfRule>
  </conditionalFormatting>
  <conditionalFormatting sqref="H2:H16">
    <cfRule type="cellIs" dxfId="2" priority="8" stopIfTrue="1" operator="equal">
      <formula>"Medium"</formula>
    </cfRule>
  </conditionalFormatting>
  <conditionalFormatting sqref="H2:H16">
    <cfRule type="cellIs" dxfId="3" priority="9" stopIfTrue="1" operator="equal">
      <formula>"Low"</formula>
    </cfRule>
  </conditionalFormatting>
  <conditionalFormatting sqref="H2:H16">
    <cfRule type="cellIs" dxfId="0" priority="10" stopIfTrue="1" operator="equal">
      <formula>"Critical"</formula>
    </cfRule>
  </conditionalFormatting>
  <conditionalFormatting sqref="H2:H16">
    <cfRule type="cellIs" dxfId="1" priority="11" stopIfTrue="1" operator="equal">
      <formula>"High"</formula>
    </cfRule>
  </conditionalFormatting>
  <conditionalFormatting sqref="H2:H16">
    <cfRule type="cellIs" dxfId="2" priority="12" stopIfTrue="1" operator="equal">
      <formula>"Medium"</formula>
    </cfRule>
  </conditionalFormatting>
  <conditionalFormatting sqref="H2:H16">
    <cfRule type="cellIs" dxfId="3" priority="13" stopIfTrue="1" operator="equal">
      <formula>"Low"</formula>
    </cfRule>
  </conditionalFormatting>
  <conditionalFormatting sqref="H2:H16">
    <cfRule type="cellIs" dxfId="0" priority="14" stopIfTrue="1" operator="equal">
      <formula>"Critical"</formula>
    </cfRule>
  </conditionalFormatting>
  <conditionalFormatting sqref="H2:H16">
    <cfRule type="cellIs" dxfId="1" priority="15" stopIfTrue="1" operator="equal">
      <formula>"High"</formula>
    </cfRule>
  </conditionalFormatting>
  <conditionalFormatting sqref="H2:H16">
    <cfRule type="cellIs" dxfId="2" priority="16" stopIfTrue="1" operator="equal">
      <formula>"Medium"</formula>
    </cfRule>
  </conditionalFormatting>
  <conditionalFormatting sqref="H2:H16">
    <cfRule type="cellIs" dxfId="3" priority="17" stopIfTrue="1" operator="equal">
      <formula>"Low"</formula>
    </cfRule>
  </conditionalFormatting>
  <conditionalFormatting sqref="H2:H16">
    <cfRule type="cellIs" dxfId="0" priority="18" stopIfTrue="1" operator="equal">
      <formula>"Critical"</formula>
    </cfRule>
  </conditionalFormatting>
  <conditionalFormatting sqref="H2:H16">
    <cfRule type="cellIs" dxfId="1" priority="19" stopIfTrue="1" operator="equal">
      <formula>"High"</formula>
    </cfRule>
  </conditionalFormatting>
  <conditionalFormatting sqref="H2:H16">
    <cfRule type="cellIs" dxfId="2" priority="20" stopIfTrue="1" operator="equal">
      <formula>"Medium"</formula>
    </cfRule>
  </conditionalFormatting>
  <conditionalFormatting sqref="H2:H16">
    <cfRule type="cellIs" dxfId="3" priority="21" stopIfTrue="1" operator="equal">
      <formula>"Low"</formula>
    </cfRule>
  </conditionalFormatting>
  <conditionalFormatting sqref="H2:H16">
    <cfRule type="cellIs" dxfId="0" priority="22" stopIfTrue="1" operator="equal">
      <formula>"Critical"</formula>
    </cfRule>
  </conditionalFormatting>
  <conditionalFormatting sqref="H2:H16">
    <cfRule type="cellIs" dxfId="1" priority="23" stopIfTrue="1" operator="equal">
      <formula>"High"</formula>
    </cfRule>
  </conditionalFormatting>
  <conditionalFormatting sqref="H2:H16">
    <cfRule type="cellIs" dxfId="2" priority="24" stopIfTrue="1" operator="equal">
      <formula>"Medium"</formula>
    </cfRule>
  </conditionalFormatting>
  <conditionalFormatting sqref="H2:H16">
    <cfRule type="cellIs" dxfId="3" priority="25" stopIfTrue="1" operator="equal">
      <formula>"Low"</formula>
    </cfRule>
  </conditionalFormatting>
  <dataValidations>
    <dataValidation type="list" allowBlank="1" showDropDown="1" showErrorMessage="1" sqref="E2:E16">
      <formula1>"Medium (2),Low (1),High (3)"</formula1>
    </dataValidation>
    <dataValidation type="custom" allowBlank="1" showDropDown="1" sqref="G2:G16">
      <formula1>AND(ISNUMBER(G2),(NOT(OR(NOT(ISERROR(DATEVALUE(G2))), AND(ISNUMBER(G2), LEFT(CELL("format", G2))="D")))))</formula1>
    </dataValidation>
    <dataValidation type="list" allowBlank="1" showDropDown="1" showErrorMessage="1" sqref="F2:F16">
      <formula1>"High (3),Medium (2),Critical (4)"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