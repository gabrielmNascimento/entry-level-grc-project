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<sst xmlns="http://schemas.openxmlformats.org/spreadsheetml/2006/main" count="79" uniqueCount="62">
  <si>
    <t>Risk ID</t>
  </si>
  <si>
    <t>Risk Description</t>
  </si>
  <si>
    <t>Threat Source</t>
  </si>
  <si>
    <t>Impacted Asset</t>
  </si>
  <si>
    <t>Likelihood</t>
  </si>
  <si>
    <t>Impact</t>
  </si>
  <si>
    <t>Risk Score</t>
  </si>
  <si>
    <t>Risk Level</t>
  </si>
  <si>
    <t>Existing Controls / Notes</t>
  </si>
  <si>
    <t>R001</t>
  </si>
  <si>
    <t>Employee laptop is stolen or hacked</t>
  </si>
  <si>
    <t>Insider threat or physical theft</t>
  </si>
  <si>
    <t>Employee device, business data</t>
  </si>
  <si>
    <t>Medium (2)</t>
  </si>
  <si>
    <t>High (3)</t>
  </si>
  <si>
    <t>Endpoint protection, remote wipe, MFA</t>
  </si>
  <si>
    <t>R002</t>
  </si>
  <si>
    <t>Unauthorized access to Shopify admin</t>
  </si>
  <si>
    <t>Phishing or brute force</t>
  </si>
  <si>
    <t>Shopify backend</t>
  </si>
  <si>
    <t>Low (1)</t>
  </si>
  <si>
    <t>Limit admin access, strong passwords</t>
  </si>
  <si>
    <t>R003</t>
  </si>
  <si>
    <t>Weak Google Drive sharing permissions</t>
  </si>
  <si>
    <t>Insider error</t>
  </si>
  <si>
    <t>Customer database, policies</t>
  </si>
  <si>
    <t>Monthly permission reviews</t>
  </si>
  <si>
    <t>R004</t>
  </si>
  <si>
    <t>Phishing email leads to credential theft</t>
  </si>
  <si>
    <t>External attacker</t>
  </si>
  <si>
    <t>Gmail + Shopify admin</t>
  </si>
  <si>
    <t>Phishing training, MFA</t>
  </si>
  <si>
    <t>R005</t>
  </si>
  <si>
    <t>Stripe misconfiguration exposes customer data</t>
  </si>
  <si>
    <t>Human error</t>
  </si>
  <si>
    <t>Payment &amp; customer info</t>
  </si>
  <si>
    <t>Critical (4)</t>
  </si>
  <si>
    <t>Role-based access, config checks</t>
  </si>
  <si>
    <t>R006</t>
  </si>
  <si>
    <t>Shopify app injects malicious code</t>
  </si>
  <si>
    <t>Third-party vendor</t>
  </si>
  <si>
    <t>Customer site, frontend</t>
  </si>
  <si>
    <t>Vet all apps, use only trusted providers</t>
  </si>
  <si>
    <t>R007</t>
  </si>
  <si>
    <t>Employee leaves without revoking access</t>
  </si>
  <si>
    <t>Internal risk</t>
  </si>
  <si>
    <t>All systems: email, Stripe, Shopify</t>
  </si>
  <si>
    <t>Offboarding checklist</t>
  </si>
  <si>
    <t>R008</t>
  </si>
  <si>
    <t>DDoS attack takes down storefront</t>
  </si>
  <si>
    <t>Shopify store availability</t>
  </si>
  <si>
    <t>Shopify has built-in DDoS protection</t>
  </si>
  <si>
    <t>R009</t>
  </si>
  <si>
    <t>Misdelivery causes chargebacks or data complaints</t>
  </si>
  <si>
    <t>Logistics partner</t>
  </si>
  <si>
    <t>Customer data &amp; payment reputation</t>
  </si>
  <si>
    <t>Use trusted courier, delivery proof</t>
  </si>
  <si>
    <t>R010</t>
  </si>
  <si>
    <t>Gmail account gets locked or lost</t>
  </si>
  <si>
    <t>Mismanagement or phishing</t>
  </si>
  <si>
    <t>Company email access</t>
  </si>
  <si>
    <t>Use backup email, recovery codes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</si>
</sst>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0" fillId="3" fontId="2" numFmtId="0" xfId="0" applyFill="1" applyFont="1"/>
    <xf borderId="0" fillId="3" fontId="2" numFmtId="0" xfId="0" applyAlignment="1" applyFont="1">
      <alignment shrinkToFit="0" wrapText="1"/>
    </xf>
    <xf borderId="0" fillId="4" fontId="2" numFmtId="0" xfId="0" applyFill="1" applyFont="1"/>
    <xf borderId="0" fillId="4" fontId="2" numFmtId="0" xfId="0" applyAlignment="1" applyFont="1">
      <alignment shrinkToFit="0" wrapText="1"/>
    </xf>
  </cellXfs>
  <cellStyles count="1">
    <cellStyle xfId="0" name="Normal" builtinId="0"/>
  </cellStyles>
  <dxfs count="4"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CC00"/>
          <bgColor rgb="FF00CC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43"/>
    <col customWidth="1" min="2" max="2" width="48.0"/>
    <col customWidth="1" min="3" max="3" width="28.14"/>
    <col customWidth="1" min="4" max="4" width="34.43"/>
    <col customWidth="1" min="5" max="6" width="11.57"/>
    <col customWidth="1" min="7" max="7" width="10.86"/>
    <col customWidth="1" min="8" max="8" width="10.43"/>
    <col customWidth="1" min="9" max="9" width="36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f>IFERROR(__xludf.DUMMYFUNCTION("VALUE(REGEXEXTRACT(E2, ""\d+"")) * VALUE(REGEXEXTRACT(F2, ""\d+""))"),6.0)</f>
        <v>6</v>
      </c>
      <c r="H2" s="2" t="str">
        <f t="shared" ref="H2:H11" si="1">IFS(G2&gt;=7, "Critical", G2&gt;=5, "High", G2&gt;=3, "Medium", TRUE, "Low")</f>
        <v>High</v>
      </c>
      <c r="I2" s="3" t="s">
        <v>15</v>
      </c>
    </row>
    <row r="3">
      <c r="A3" s="4" t="s">
        <v>16</v>
      </c>
      <c r="B3" s="5" t="s">
        <v>17</v>
      </c>
      <c r="C3" s="4" t="s">
        <v>18</v>
      </c>
      <c r="D3" s="4" t="s">
        <v>19</v>
      </c>
      <c r="E3" s="4" t="s">
        <v>20</v>
      </c>
      <c r="F3" s="4" t="s">
        <v>14</v>
      </c>
      <c r="G3" s="4">
        <f>IFERROR(__xludf.DUMMYFUNCTION("VALUE(REGEXEXTRACT(E3, ""\d+"")) * VALUE(REGEXEXTRACT(F3, ""\d+""))"),3.0)</f>
        <v>3</v>
      </c>
      <c r="H3" s="4" t="str">
        <f t="shared" si="1"/>
        <v>Medium</v>
      </c>
      <c r="I3" s="5" t="s">
        <v>21</v>
      </c>
    </row>
    <row r="4">
      <c r="A4" s="2" t="s">
        <v>22</v>
      </c>
      <c r="B4" s="3" t="s">
        <v>23</v>
      </c>
      <c r="C4" s="2" t="s">
        <v>24</v>
      </c>
      <c r="D4" s="2" t="s">
        <v>25</v>
      </c>
      <c r="E4" s="2" t="s">
        <v>13</v>
      </c>
      <c r="F4" s="2" t="s">
        <v>13</v>
      </c>
      <c r="G4" s="2">
        <f>IFERROR(__xludf.DUMMYFUNCTION("VALUE(REGEXEXTRACT(E4, ""\d+"")) * VALUE(REGEXEXTRACT(F4, ""\d+""))"),4.0)</f>
        <v>4</v>
      </c>
      <c r="H4" s="2" t="str">
        <f t="shared" si="1"/>
        <v>Medium</v>
      </c>
      <c r="I4" s="3" t="s">
        <v>26</v>
      </c>
    </row>
    <row r="5">
      <c r="A5" s="4" t="s">
        <v>27</v>
      </c>
      <c r="B5" s="5" t="s">
        <v>28</v>
      </c>
      <c r="C5" s="4" t="s">
        <v>29</v>
      </c>
      <c r="D5" s="4" t="s">
        <v>30</v>
      </c>
      <c r="E5" s="4" t="s">
        <v>14</v>
      </c>
      <c r="F5" s="4" t="s">
        <v>14</v>
      </c>
      <c r="G5" s="4">
        <f>IFERROR(__xludf.DUMMYFUNCTION("VALUE(REGEXEXTRACT(E5, ""\d+"")) * VALUE(REGEXEXTRACT(F5, ""\d+""))"),9.0)</f>
        <v>9</v>
      </c>
      <c r="H5" s="4" t="str">
        <f t="shared" si="1"/>
        <v>Critical</v>
      </c>
      <c r="I5" s="5" t="s">
        <v>31</v>
      </c>
    </row>
    <row r="6">
      <c r="A6" s="2" t="s">
        <v>32</v>
      </c>
      <c r="B6" s="3" t="s">
        <v>33</v>
      </c>
      <c r="C6" s="2" t="s">
        <v>34</v>
      </c>
      <c r="D6" s="2" t="s">
        <v>35</v>
      </c>
      <c r="E6" s="2" t="s">
        <v>20</v>
      </c>
      <c r="F6" s="2" t="s">
        <v>36</v>
      </c>
      <c r="G6" s="2">
        <f>IFERROR(__xludf.DUMMYFUNCTION("VALUE(REGEXEXTRACT(E6, ""\d+"")) * VALUE(REGEXEXTRACT(F6, ""\d+""))"),4.0)</f>
        <v>4</v>
      </c>
      <c r="H6" s="2" t="str">
        <f t="shared" si="1"/>
        <v>Medium</v>
      </c>
      <c r="I6" s="3" t="s">
        <v>37</v>
      </c>
    </row>
    <row r="7">
      <c r="A7" s="4" t="s">
        <v>38</v>
      </c>
      <c r="B7" s="5" t="s">
        <v>39</v>
      </c>
      <c r="C7" s="4" t="s">
        <v>40</v>
      </c>
      <c r="D7" s="4" t="s">
        <v>41</v>
      </c>
      <c r="E7" s="4" t="s">
        <v>13</v>
      </c>
      <c r="F7" s="4" t="s">
        <v>14</v>
      </c>
      <c r="G7" s="4">
        <f>IFERROR(__xludf.DUMMYFUNCTION("VALUE(REGEXEXTRACT(E7, ""\d+"")) * VALUE(REGEXEXTRACT(F7, ""\d+""))"),6.0)</f>
        <v>6</v>
      </c>
      <c r="H7" s="4" t="str">
        <f t="shared" si="1"/>
        <v>High</v>
      </c>
      <c r="I7" s="5" t="s">
        <v>42</v>
      </c>
    </row>
    <row r="8">
      <c r="A8" s="2" t="s">
        <v>43</v>
      </c>
      <c r="B8" s="3" t="s">
        <v>44</v>
      </c>
      <c r="C8" s="2" t="s">
        <v>45</v>
      </c>
      <c r="D8" s="2" t="s">
        <v>46</v>
      </c>
      <c r="E8" s="2" t="s">
        <v>13</v>
      </c>
      <c r="F8" s="2" t="s">
        <v>13</v>
      </c>
      <c r="G8" s="2">
        <f>IFERROR(__xludf.DUMMYFUNCTION("VALUE(REGEXEXTRACT(E8, ""\d+"")) * VALUE(REGEXEXTRACT(F8, ""\d+""))"),4.0)</f>
        <v>4</v>
      </c>
      <c r="H8" s="2" t="str">
        <f t="shared" si="1"/>
        <v>Medium</v>
      </c>
      <c r="I8" s="3" t="s">
        <v>47</v>
      </c>
    </row>
    <row r="9">
      <c r="A9" s="4" t="s">
        <v>48</v>
      </c>
      <c r="B9" s="5" t="s">
        <v>49</v>
      </c>
      <c r="C9" s="4" t="s">
        <v>29</v>
      </c>
      <c r="D9" s="4" t="s">
        <v>50</v>
      </c>
      <c r="E9" s="4" t="s">
        <v>20</v>
      </c>
      <c r="F9" s="4" t="s">
        <v>14</v>
      </c>
      <c r="G9" s="4">
        <f>IFERROR(__xludf.DUMMYFUNCTION("VALUE(REGEXEXTRACT(E9, ""\d+"")) * VALUE(REGEXEXTRACT(F9, ""\d+""))"),3.0)</f>
        <v>3</v>
      </c>
      <c r="H9" s="4" t="str">
        <f t="shared" si="1"/>
        <v>Medium</v>
      </c>
      <c r="I9" s="5" t="s">
        <v>51</v>
      </c>
    </row>
    <row r="10">
      <c r="A10" s="2" t="s">
        <v>52</v>
      </c>
      <c r="B10" s="3" t="s">
        <v>53</v>
      </c>
      <c r="C10" s="2" t="s">
        <v>54</v>
      </c>
      <c r="D10" s="2" t="s">
        <v>55</v>
      </c>
      <c r="E10" s="2" t="s">
        <v>13</v>
      </c>
      <c r="F10" s="2" t="s">
        <v>13</v>
      </c>
      <c r="G10" s="2">
        <f>IFERROR(__xludf.DUMMYFUNCTION("VALUE(REGEXEXTRACT(E10, ""\d+"")) * VALUE(REGEXEXTRACT(F10, ""\d+""))"),4.0)</f>
        <v>4</v>
      </c>
      <c r="H10" s="2" t="str">
        <f t="shared" si="1"/>
        <v>Medium</v>
      </c>
      <c r="I10" s="3" t="s">
        <v>56</v>
      </c>
    </row>
    <row r="11">
      <c r="A11" s="4" t="s">
        <v>57</v>
      </c>
      <c r="B11" s="5" t="s">
        <v>58</v>
      </c>
      <c r="C11" s="4" t="s">
        <v>59</v>
      </c>
      <c r="D11" s="4" t="s">
        <v>60</v>
      </c>
      <c r="E11" s="4" t="s">
        <v>20</v>
      </c>
      <c r="F11" s="4" t="s">
        <v>14</v>
      </c>
      <c r="G11" s="4">
        <f>IFERROR(__xludf.DUMMYFUNCTION("VALUE(REGEXEXTRACT(E11, ""\d+"")) * VALUE(REGEXEXTRACT(F11, ""\d+""))"),3.0)</f>
        <v>3</v>
      </c>
      <c r="H11" s="4" t="str">
        <f t="shared" si="1"/>
        <v>Medium</v>
      </c>
      <c r="I11" s="5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:H11">
    <cfRule type="cellIs" dxfId="0" priority="1" stopIfTrue="1" operator="equal">
      <formula>"Critical"</formula>
    </cfRule>
  </conditionalFormatting>
  <conditionalFormatting sqref="H2:H11">
    <cfRule type="cellIs" dxfId="1" priority="2" stopIfTrue="1" operator="equal">
      <formula>"High"</formula>
    </cfRule>
  </conditionalFormatting>
  <conditionalFormatting sqref="H2:H11">
    <cfRule type="cellIs" dxfId="2" priority="3" stopIfTrue="1" operator="equal">
      <formula>"Medium"</formula>
    </cfRule>
  </conditionalFormatting>
  <conditionalFormatting sqref="H2:H11">
    <cfRule type="cellIs" dxfId="3" priority="4" stopIfTrue="1" operator="equal">
      <formula>"Low"</formula>
    </cfRule>
  </conditionalFormatting>
  <printOptions/>
  <pageMargins bottom="0.75" footer="0.0" header="0.0" left="0.7" right="0.7" top="0.75"/>
  <pageSetup orientation="landscape"/>
  <drawing r:id="rId1"/>
</worksheet>
</file>